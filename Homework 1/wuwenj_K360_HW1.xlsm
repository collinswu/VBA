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lin\Desktop\"/>
    </mc:Choice>
  </mc:AlternateContent>
  <xr:revisionPtr revIDLastSave="0" documentId="13_ncr:1_{F0B57A9F-7782-44A1-ABC9-94938200099A}" xr6:coauthVersionLast="45" xr6:coauthVersionMax="45" xr10:uidLastSave="{00000000-0000-0000-0000-000000000000}"/>
  <bookViews>
    <workbookView xWindow="990" yWindow="1150" windowWidth="28800" windowHeight="15380" xr2:uid="{BB83D336-DE94-4775-90E8-C346D7A064EB}"/>
  </bookViews>
  <sheets>
    <sheet name="Menu" sheetId="1" r:id="rId1"/>
    <sheet name="Receipt" sheetId="2" r:id="rId2"/>
  </sheets>
  <definedNames>
    <definedName name="Description">Menu!$A$11:$A$37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4" i="2" l="1"/>
  <c r="C13" i="2" l="1"/>
  <c r="C14" i="2"/>
  <c r="C15" i="2"/>
  <c r="C16" i="2"/>
  <c r="C17" i="2"/>
  <c r="C18" i="2"/>
  <c r="C19" i="2"/>
  <c r="C20" i="2"/>
  <c r="C21" i="2"/>
  <c r="C12" i="2"/>
  <c r="A13" i="2"/>
  <c r="A14" i="2"/>
  <c r="A15" i="2"/>
  <c r="A16" i="2"/>
  <c r="A17" i="2"/>
  <c r="A18" i="2"/>
  <c r="A19" i="2"/>
  <c r="A20" i="2"/>
  <c r="A21" i="2"/>
  <c r="A12" i="2"/>
</calcChain>
</file>

<file path=xl/sharedStrings.xml><?xml version="1.0" encoding="utf-8"?>
<sst xmlns="http://schemas.openxmlformats.org/spreadsheetml/2006/main" count="42" uniqueCount="38">
  <si>
    <t>Fresh Roast Coffee – Small</t>
  </si>
  <si>
    <t>Fresh Roast Coffee – Medium</t>
  </si>
  <si>
    <t>Fresh Roast Coffee – Large</t>
  </si>
  <si>
    <t>Espresso (1 shot)</t>
  </si>
  <si>
    <t>Doppio Espresso (2 shots)</t>
  </si>
  <si>
    <t>Americano – Small</t>
  </si>
  <si>
    <t>Americano – Large</t>
  </si>
  <si>
    <t>Mocha – Small</t>
  </si>
  <si>
    <t>Mocha – Large</t>
  </si>
  <si>
    <t>White Chocolate Mocha – Small</t>
  </si>
  <si>
    <t>White Chocolate Mocha – Large</t>
  </si>
  <si>
    <t>Traditional Macchiato</t>
  </si>
  <si>
    <t>Caramel Macchiato – Small</t>
  </si>
  <si>
    <t>Caramel Macchiato – Large</t>
  </si>
  <si>
    <t>Latte – Small</t>
  </si>
  <si>
    <t>Latte – Large</t>
  </si>
  <si>
    <t>Cappuccino – Small</t>
  </si>
  <si>
    <t>Cappuccino – Large</t>
  </si>
  <si>
    <t>Flat White – Small</t>
  </si>
  <si>
    <t>Flat White – Large</t>
  </si>
  <si>
    <t>Chai Latte – Small</t>
  </si>
  <si>
    <t>Chai Latte – Large</t>
  </si>
  <si>
    <t>Hot Tea – Small</t>
  </si>
  <si>
    <t>Hot Tea – Large</t>
  </si>
  <si>
    <t>Hot Chocolate – Small</t>
  </si>
  <si>
    <t>Hot Chocolate – Medium</t>
  </si>
  <si>
    <t>Hot Chocolate – Large</t>
  </si>
  <si>
    <t>Receipt</t>
  </si>
  <si>
    <t>Item</t>
  </si>
  <si>
    <t>Description</t>
  </si>
  <si>
    <t>Cost</t>
  </si>
  <si>
    <t>Hot Drink Menu</t>
  </si>
  <si>
    <t>Total Number of Items Ordered</t>
  </si>
  <si>
    <t>Tax:</t>
  </si>
  <si>
    <t>Tip:</t>
  </si>
  <si>
    <t>Total (with Tip):</t>
  </si>
  <si>
    <t xml:space="preserve">Subtotal: </t>
  </si>
  <si>
    <t>Choose Tip Amount Below to Calculate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</si>
</sst>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2" fillId="0" borderId="0" xfId="0" applyFont="1"/>
    <xf numFmtId="164" fontId="2" fillId="0" borderId="0" xfId="0" applyNumberFormat="1" applyFont="1"/>
    <xf numFmtId="0" fontId="5" fillId="0" borderId="0" xfId="0" applyFont="1"/>
    <xf numFmtId="0" fontId="4" fillId="0" borderId="0" xfId="0" applyFont="1" applyAlignment="1">
      <alignment horizontal="centerContinuous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 vertical="center"/>
    </xf>
    <xf numFmtId="165" fontId="0" fillId="0" borderId="0" xfId="1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</xdr:col>
      <xdr:colOff>9526</xdr:colOff>
      <xdr:row>7</xdr:row>
      <xdr:rowOff>3793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3086100" cy="13372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8283</xdr:colOff>
      <xdr:row>8</xdr:row>
      <xdr:rowOff>9524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967370" cy="1533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32</xdr:row>
          <xdr:rowOff>12700</xdr:rowOff>
        </xdr:from>
        <xdr:to>
          <xdr:col>1</xdr:col>
          <xdr:colOff>476250</xdr:colOff>
          <xdr:row>33</xdr:row>
          <xdr:rowOff>184150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755650</xdr:colOff>
          <xdr:row>32</xdr:row>
          <xdr:rowOff>12700</xdr:rowOff>
        </xdr:from>
        <xdr:to>
          <xdr:col>1</xdr:col>
          <xdr:colOff>1219200</xdr:colOff>
          <xdr:row>33</xdr:row>
          <xdr:rowOff>184150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1504950</xdr:colOff>
          <xdr:row>32</xdr:row>
          <xdr:rowOff>12700</xdr:rowOff>
        </xdr:from>
        <xdr:to>
          <xdr:col>1</xdr:col>
          <xdr:colOff>1974850</xdr:colOff>
          <xdr:row>33</xdr:row>
          <xdr:rowOff>184150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2247900</xdr:colOff>
          <xdr:row>32</xdr:row>
          <xdr:rowOff>12700</xdr:rowOff>
        </xdr:from>
        <xdr:to>
          <xdr:col>1</xdr:col>
          <xdr:colOff>2717800</xdr:colOff>
          <xdr:row>33</xdr:row>
          <xdr:rowOff>184150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35</xdr:row>
          <xdr:rowOff>12700</xdr:rowOff>
        </xdr:from>
        <xdr:to>
          <xdr:col>2</xdr:col>
          <xdr:colOff>12700</xdr:colOff>
          <xdr:row>35</xdr:row>
          <xdr:rowOff>184150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Receipt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EE69D-E2F9-468B-A706-97D31199D4F7}">
  <sheetPr codeName="Sheet1"/>
  <dimension ref="A9:B37"/>
  <sheetViews>
    <sheetView tabSelected="1" topLeftCell="A3" workbookViewId="0">
      <selection activeCell="E37" sqref="E37"/>
    </sheetView>
  </sheetViews>
  <sheetFormatPr defaultRowHeight="14.5" x14ac:dyDescent="0.35"/>
  <cols>
    <col min="1" max="1" width="37" customWidth="1"/>
  </cols>
  <sheetData>
    <row r="9" spans="1:2" ht="26" x14ac:dyDescent="0.35">
      <c r="A9" s="9" t="s">
        <v>31</v>
      </c>
      <c r="B9" s="9"/>
    </row>
    <row r="11" spans="1:2" ht="15.5" x14ac:dyDescent="0.35">
      <c r="A11" s="1" t="s">
        <v>0</v>
      </c>
      <c r="B11" s="2">
        <v>1.5</v>
      </c>
    </row>
    <row r="12" spans="1:2" ht="15.5" x14ac:dyDescent="0.35">
      <c r="A12" s="1" t="s">
        <v>1</v>
      </c>
      <c r="B12" s="2">
        <v>2.95</v>
      </c>
    </row>
    <row r="13" spans="1:2" ht="15.5" x14ac:dyDescent="0.35">
      <c r="A13" s="1" t="s">
        <v>2</v>
      </c>
      <c r="B13" s="2">
        <v>2.5</v>
      </c>
    </row>
    <row r="14" spans="1:2" ht="15.5" x14ac:dyDescent="0.35">
      <c r="A14" s="1" t="s">
        <v>3</v>
      </c>
      <c r="B14" s="2">
        <v>1.5</v>
      </c>
    </row>
    <row r="15" spans="1:2" ht="15.5" x14ac:dyDescent="0.35">
      <c r="A15" s="1" t="s">
        <v>4</v>
      </c>
      <c r="B15" s="2">
        <v>1.95</v>
      </c>
    </row>
    <row r="16" spans="1:2" ht="15.5" x14ac:dyDescent="0.35">
      <c r="A16" s="1" t="s">
        <v>5</v>
      </c>
      <c r="B16" s="2">
        <v>1.95</v>
      </c>
    </row>
    <row r="17" spans="1:2" ht="15.5" x14ac:dyDescent="0.35">
      <c r="A17" s="1" t="s">
        <v>6</v>
      </c>
      <c r="B17" s="2">
        <v>2.5</v>
      </c>
    </row>
    <row r="18" spans="1:2" ht="15.5" x14ac:dyDescent="0.35">
      <c r="A18" s="1" t="s">
        <v>7</v>
      </c>
      <c r="B18" s="2">
        <v>3.45</v>
      </c>
    </row>
    <row r="19" spans="1:2" ht="15.5" x14ac:dyDescent="0.35">
      <c r="A19" s="1" t="s">
        <v>8</v>
      </c>
      <c r="B19" s="2">
        <v>4.1500000000000004</v>
      </c>
    </row>
    <row r="20" spans="1:2" ht="15.5" x14ac:dyDescent="0.35">
      <c r="A20" s="1" t="s">
        <v>9</v>
      </c>
      <c r="B20" s="2">
        <v>3.45</v>
      </c>
    </row>
    <row r="21" spans="1:2" ht="15.5" x14ac:dyDescent="0.35">
      <c r="A21" s="1" t="s">
        <v>10</v>
      </c>
      <c r="B21" s="2">
        <v>4.1500000000000004</v>
      </c>
    </row>
    <row r="22" spans="1:2" ht="15.5" x14ac:dyDescent="0.35">
      <c r="A22" s="1" t="s">
        <v>11</v>
      </c>
      <c r="B22" s="2">
        <v>2.25</v>
      </c>
    </row>
    <row r="23" spans="1:2" ht="15.5" x14ac:dyDescent="0.35">
      <c r="A23" s="1" t="s">
        <v>12</v>
      </c>
      <c r="B23" s="2">
        <v>3.95</v>
      </c>
    </row>
    <row r="24" spans="1:2" ht="15.5" x14ac:dyDescent="0.35">
      <c r="A24" s="1" t="s">
        <v>13</v>
      </c>
      <c r="B24" s="2">
        <v>4.6500000000000004</v>
      </c>
    </row>
    <row r="25" spans="1:2" ht="15.5" x14ac:dyDescent="0.35">
      <c r="A25" s="1" t="s">
        <v>14</v>
      </c>
      <c r="B25" s="2">
        <v>2.95</v>
      </c>
    </row>
    <row r="26" spans="1:2" ht="15.5" x14ac:dyDescent="0.35">
      <c r="A26" s="1" t="s">
        <v>15</v>
      </c>
      <c r="B26" s="2">
        <v>3.65</v>
      </c>
    </row>
    <row r="27" spans="1:2" ht="15.5" x14ac:dyDescent="0.35">
      <c r="A27" s="1" t="s">
        <v>16</v>
      </c>
      <c r="B27" s="2">
        <v>2.95</v>
      </c>
    </row>
    <row r="28" spans="1:2" ht="15.5" x14ac:dyDescent="0.35">
      <c r="A28" s="1" t="s">
        <v>17</v>
      </c>
      <c r="B28" s="2">
        <v>3.65</v>
      </c>
    </row>
    <row r="29" spans="1:2" ht="15.5" x14ac:dyDescent="0.35">
      <c r="A29" s="1" t="s">
        <v>18</v>
      </c>
      <c r="B29" s="2">
        <v>2.95</v>
      </c>
    </row>
    <row r="30" spans="1:2" ht="15.5" x14ac:dyDescent="0.35">
      <c r="A30" s="1" t="s">
        <v>19</v>
      </c>
      <c r="B30" s="2">
        <v>3.65</v>
      </c>
    </row>
    <row r="31" spans="1:2" ht="15.5" x14ac:dyDescent="0.35">
      <c r="A31" s="1" t="s">
        <v>20</v>
      </c>
      <c r="B31" s="2">
        <v>2.95</v>
      </c>
    </row>
    <row r="32" spans="1:2" ht="15.5" x14ac:dyDescent="0.35">
      <c r="A32" s="1" t="s">
        <v>21</v>
      </c>
      <c r="B32" s="2">
        <v>3.65</v>
      </c>
    </row>
    <row r="33" spans="1:2" ht="15.5" x14ac:dyDescent="0.35">
      <c r="A33" s="1" t="s">
        <v>22</v>
      </c>
      <c r="B33" s="2">
        <v>1.5</v>
      </c>
    </row>
    <row r="34" spans="1:2" ht="15.5" x14ac:dyDescent="0.35">
      <c r="A34" s="1" t="s">
        <v>23</v>
      </c>
      <c r="B34" s="2">
        <v>1.75</v>
      </c>
    </row>
    <row r="35" spans="1:2" ht="15.5" x14ac:dyDescent="0.35">
      <c r="A35" s="1" t="s">
        <v>24</v>
      </c>
      <c r="B35" s="2">
        <v>2.25</v>
      </c>
    </row>
    <row r="36" spans="1:2" ht="15.5" x14ac:dyDescent="0.35">
      <c r="A36" s="1" t="s">
        <v>25</v>
      </c>
      <c r="B36" s="2">
        <v>2.75</v>
      </c>
    </row>
    <row r="37" spans="1:2" ht="15.5" x14ac:dyDescent="0.35">
      <c r="A37" s="3" t="s">
        <v>26</v>
      </c>
      <c r="B37" s="4">
        <v>3.25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C788A-9137-4D3E-B669-2B9F0501B7F7}">
  <sheetPr codeName="Sheet2"/>
  <dimension ref="A9:C31"/>
  <sheetViews>
    <sheetView topLeftCell="A10" zoomScale="160" zoomScaleNormal="160" workbookViewId="0">
      <selection activeCell="E23" sqref="E23"/>
    </sheetView>
  </sheetViews>
  <sheetFormatPr defaultRowHeight="14.5" x14ac:dyDescent="0.35"/>
  <cols>
    <col min="2" max="2" width="41" bestFit="1" customWidth="1"/>
  </cols>
  <sheetData>
    <row r="9" spans="1:3" ht="28.5" x14ac:dyDescent="0.65">
      <c r="A9" s="6" t="s">
        <v>27</v>
      </c>
      <c r="B9" s="7"/>
      <c r="C9" s="8"/>
    </row>
    <row r="11" spans="1:3" x14ac:dyDescent="0.35">
      <c r="A11" s="11" t="s">
        <v>28</v>
      </c>
      <c r="B11" s="5" t="s">
        <v>29</v>
      </c>
      <c r="C11" s="11" t="s">
        <v>30</v>
      </c>
    </row>
    <row r="12" spans="1:3" ht="15.5" x14ac:dyDescent="0.35">
      <c r="A12">
        <f>IF(B12="","",COUNTA($B$12:B12))</f>
        <v>1</v>
      </c>
      <c r="B12" s="1" t="s">
        <v>6</v>
      </c>
      <c r="C12" s="10">
        <f>IF(B12="","",VLOOKUP(B12,Menu!$A$11:$B$37,2,FALSE))</f>
        <v>2.5</v>
      </c>
    </row>
    <row r="13" spans="1:3" ht="15.5" x14ac:dyDescent="0.35">
      <c r="A13" t="str">
        <f>IF(B13="","",COUNTA($B$12:B13))</f>
        <v/>
      </c>
      <c r="B13" s="1"/>
      <c r="C13" s="10" t="str">
        <f>IF(B13="","",VLOOKUP(B13,Menu!$A$11:$B$37,2,FALSE))</f>
        <v/>
      </c>
    </row>
    <row r="14" spans="1:3" x14ac:dyDescent="0.35">
      <c r="A14" t="str">
        <f>IF(B14="","",COUNTA($B$12:B14))</f>
        <v/>
      </c>
      <c r="C14" s="10" t="str">
        <f>IF(B14="","",VLOOKUP(B14,Menu!$A$11:$B$37,2,FALSE))</f>
        <v/>
      </c>
    </row>
    <row r="15" spans="1:3" x14ac:dyDescent="0.35">
      <c r="A15" t="str">
        <f>IF(B15="","",COUNTA($B$12:B15))</f>
        <v/>
      </c>
      <c r="C15" s="10" t="str">
        <f>IF(B15="","",VLOOKUP(B15,Menu!$A$11:$B$37,2,FALSE))</f>
        <v/>
      </c>
    </row>
    <row r="16" spans="1:3" x14ac:dyDescent="0.35">
      <c r="A16">
        <f>IF(B16="","",COUNTA($B$12:B16))</f>
        <v>2</v>
      </c>
      <c r="B16" t="s">
        <v>20</v>
      </c>
      <c r="C16" s="10">
        <f>IF(B16="","",VLOOKUP(B16,Menu!$A$11:$B$37,2,FALSE))</f>
        <v>2.95</v>
      </c>
    </row>
    <row r="17" spans="1:3" x14ac:dyDescent="0.35">
      <c r="A17" t="str">
        <f>IF(B17="","",COUNTA($B$12:B17))</f>
        <v/>
      </c>
      <c r="C17" s="10" t="str">
        <f>IF(B17="","",VLOOKUP(B17,Menu!$A$11:$B$37,2,FALSE))</f>
        <v/>
      </c>
    </row>
    <row r="18" spans="1:3" x14ac:dyDescent="0.35">
      <c r="A18" t="str">
        <f>IF(B18="","",COUNTA($B$12:B18))</f>
        <v/>
      </c>
      <c r="C18" s="10" t="str">
        <f>IF(B18="","",VLOOKUP(B18,Menu!$A$11:$B$37,2,FALSE))</f>
        <v/>
      </c>
    </row>
    <row r="19" spans="1:3" x14ac:dyDescent="0.35">
      <c r="A19" t="str">
        <f>IF(B19="","",COUNTA($B$12:B19))</f>
        <v/>
      </c>
      <c r="C19" s="10" t="str">
        <f>IF(B19="","",VLOOKUP(B19,Menu!$A$11:$B$37,2,FALSE))</f>
        <v/>
      </c>
    </row>
    <row r="20" spans="1:3" x14ac:dyDescent="0.35">
      <c r="A20">
        <f>IF(B20="","",COUNTA($B$12:B20))</f>
        <v>3</v>
      </c>
      <c r="B20" t="s">
        <v>22</v>
      </c>
      <c r="C20" s="10">
        <f>IF(B20="","",VLOOKUP(B20,Menu!$A$11:$B$37,2,FALSE))</f>
        <v>1.5</v>
      </c>
    </row>
    <row r="21" spans="1:3" x14ac:dyDescent="0.35">
      <c r="A21">
        <f>IF(B21="","",COUNTA($B$12:B21))</f>
        <v>4</v>
      </c>
      <c r="B21" t="s">
        <v>12</v>
      </c>
      <c r="C21" s="10">
        <f>IF(B21="","",VLOOKUP(B21,Menu!$A$11:$B$37,2,FALSE))</f>
        <v>3.95</v>
      </c>
    </row>
    <row r="24" spans="1:3" x14ac:dyDescent="0.35">
      <c r="B24" s="12" t="s">
        <v>32</v>
      </c>
      <c r="C24" s="14">
        <f>IF(COUNTA(B12:B21)=0,"",COUNTA(B12:B21))</f>
        <v>4</v>
      </c>
    </row>
    <row r="26" spans="1:3" x14ac:dyDescent="0.35">
      <c r="B26" s="12" t="s">
        <v>36</v>
      </c>
      <c r="C26" s="13">
        <v>10.9</v>
      </c>
    </row>
    <row r="27" spans="1:3" x14ac:dyDescent="0.35">
      <c r="B27" s="12" t="s">
        <v>33</v>
      </c>
      <c r="C27" s="13">
        <v>0.76300000000000012</v>
      </c>
    </row>
    <row r="28" spans="1:3" x14ac:dyDescent="0.35">
      <c r="B28" s="12" t="s">
        <v>34</v>
      </c>
      <c r="C28" s="10">
        <v>1.1663000000000001</v>
      </c>
    </row>
    <row r="29" spans="1:3" x14ac:dyDescent="0.35">
      <c r="B29" s="12" t="s">
        <v>35</v>
      </c>
      <c r="C29" s="10">
        <v>12.8293</v>
      </c>
    </row>
    <row r="31" spans="1:3" x14ac:dyDescent="0.35">
      <c r="B31" s="12" t="s">
        <v>37</v>
      </c>
    </row>
  </sheetData>
  <dataValidations count="1">
    <dataValidation type="list" allowBlank="1" showInputMessage="1" showErrorMessage="1" sqref="B12:B21" xr:uid="{3758C329-E2B9-4378-8A98-8F943718E5FF}">
      <formula1>Description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Ten">
                <anchor moveWithCells="1" sizeWithCells="1">
                  <from>
                    <xdr:col>1</xdr:col>
                    <xdr:colOff>12700</xdr:colOff>
                    <xdr:row>32</xdr:row>
                    <xdr:rowOff>12700</xdr:rowOff>
                  </from>
                  <to>
                    <xdr:col>1</xdr:col>
                    <xdr:colOff>476250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Fifteen">
                <anchor moveWithCells="1" sizeWithCells="1">
                  <from>
                    <xdr:col>1</xdr:col>
                    <xdr:colOff>755650</xdr:colOff>
                    <xdr:row>32</xdr:row>
                    <xdr:rowOff>12700</xdr:rowOff>
                  </from>
                  <to>
                    <xdr:col>1</xdr:col>
                    <xdr:colOff>1219200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Twenty">
                <anchor moveWithCells="1" sizeWithCells="1">
                  <from>
                    <xdr:col>1</xdr:col>
                    <xdr:colOff>1504950</xdr:colOff>
                    <xdr:row>32</xdr:row>
                    <xdr:rowOff>12700</xdr:rowOff>
                  </from>
                  <to>
                    <xdr:col>1</xdr:col>
                    <xdr:colOff>1974850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TwentyFive">
                <anchor moveWithCells="1" sizeWithCells="1">
                  <from>
                    <xdr:col>1</xdr:col>
                    <xdr:colOff>2247900</xdr:colOff>
                    <xdr:row>32</xdr:row>
                    <xdr:rowOff>12700</xdr:rowOff>
                  </from>
                  <to>
                    <xdr:col>1</xdr:col>
                    <xdr:colOff>2717800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Button 10">
              <controlPr defaultSize="0" print="0" autoFill="0" autoPict="0" macro="[0]!Reset">
                <anchor moveWithCells="1" sizeWithCells="1">
                  <from>
                    <xdr:col>1</xdr:col>
                    <xdr:colOff>0</xdr:colOff>
                    <xdr:row>35</xdr:row>
                    <xdr:rowOff>12700</xdr:rowOff>
                  </from>
                  <to>
                    <xdr:col>2</xdr:col>
                    <xdr:colOff>12700</xdr:colOff>
                    <xdr:row>35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Menu</vt:lpstr>
      <vt:lpstr>Receipt</vt:lpstr>
      <vt:lpstr>Description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Wu, Wenjie</dc:creator>
  <cp:lastModifiedBy>武文洁</cp:lastModifiedBy>
  <dcterms:created xsi:type="dcterms:W3CDTF">2020-01-27T16:54:50Z</dcterms:created>
  <dcterms:modified xsi:type="dcterms:W3CDTF">2020-01-30T23:20:39Z</dcterms:modified>
</cp:coreProperties>
</file>